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ensabile/Desktop/sysen5211/5211_final/"/>
    </mc:Choice>
  </mc:AlternateContent>
  <xr:revisionPtr revIDLastSave="0" documentId="8_{DA75C828-67E3-4941-B792-939B3D4D7CBF}" xr6:coauthVersionLast="47" xr6:coauthVersionMax="47" xr10:uidLastSave="{00000000-0000-0000-0000-000000000000}"/>
  <bookViews>
    <workbookView xWindow="0" yWindow="0" windowWidth="35840" windowHeight="22400" xr2:uid="{7F74E4CA-75FF-D849-A025-4E7D799F85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13" i="1" l="1"/>
  <c r="Y14" i="1"/>
  <c r="Y15" i="1"/>
  <c r="Y16" i="1"/>
  <c r="Y25" i="1"/>
  <c r="Y26" i="1"/>
  <c r="Y27" i="1"/>
  <c r="Y28" i="1"/>
  <c r="Y37" i="1"/>
  <c r="Y38" i="1"/>
  <c r="Y39" i="1"/>
  <c r="Y40" i="1"/>
  <c r="Y49" i="1"/>
  <c r="Y50" i="1"/>
  <c r="Y51" i="1"/>
  <c r="Y52" i="1"/>
  <c r="Y61" i="1"/>
  <c r="Y62" i="1"/>
  <c r="Y63" i="1"/>
  <c r="Y64" i="1"/>
  <c r="Y73" i="1"/>
  <c r="Y74" i="1"/>
  <c r="Y75" i="1"/>
  <c r="Y76" i="1"/>
  <c r="Y85" i="1"/>
  <c r="Y86" i="1"/>
  <c r="Y87" i="1"/>
  <c r="Y88" i="1"/>
  <c r="Y5" i="1"/>
  <c r="Y6" i="1"/>
  <c r="Y7" i="1"/>
  <c r="Y8" i="1"/>
  <c r="Y9" i="1"/>
  <c r="Y10" i="1"/>
  <c r="Y11" i="1"/>
  <c r="Y12" i="1"/>
  <c r="Y17" i="1"/>
  <c r="Y18" i="1"/>
  <c r="Y19" i="1"/>
  <c r="Y20" i="1"/>
  <c r="Y21" i="1"/>
  <c r="Y22" i="1"/>
  <c r="Y23" i="1"/>
  <c r="Y24" i="1"/>
  <c r="Y29" i="1"/>
  <c r="Y30" i="1"/>
  <c r="Y31" i="1"/>
  <c r="Y32" i="1"/>
  <c r="Y33" i="1"/>
  <c r="Y34" i="1"/>
  <c r="Y35" i="1"/>
  <c r="Y36" i="1"/>
  <c r="Y41" i="1"/>
  <c r="Y42" i="1"/>
  <c r="Y43" i="1"/>
  <c r="Y44" i="1"/>
  <c r="Y45" i="1"/>
  <c r="Y46" i="1"/>
  <c r="Y47" i="1"/>
  <c r="Y48" i="1"/>
  <c r="Y53" i="1"/>
  <c r="Y54" i="1"/>
  <c r="Y55" i="1"/>
  <c r="Y56" i="1"/>
  <c r="Y57" i="1"/>
  <c r="Y58" i="1"/>
  <c r="Y59" i="1"/>
  <c r="Y60" i="1"/>
  <c r="Y65" i="1"/>
  <c r="Y66" i="1"/>
  <c r="Y67" i="1"/>
  <c r="Y68" i="1"/>
  <c r="Y69" i="1"/>
  <c r="Y70" i="1"/>
  <c r="Y71" i="1"/>
  <c r="Y72" i="1"/>
  <c r="Y77" i="1"/>
  <c r="Y78" i="1"/>
  <c r="Y79" i="1"/>
  <c r="Y80" i="1"/>
  <c r="Y81" i="1"/>
  <c r="Y82" i="1"/>
  <c r="Y83" i="1"/>
  <c r="Y84" i="1"/>
  <c r="Y89" i="1"/>
  <c r="Y90" i="1"/>
  <c r="Y91" i="1"/>
  <c r="Y92" i="1"/>
  <c r="Y4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S95" i="1"/>
  <c r="S94" i="1"/>
  <c r="R92" i="1"/>
  <c r="S92" i="1"/>
  <c r="R88" i="1"/>
  <c r="S88" i="1"/>
  <c r="R89" i="1"/>
  <c r="R90" i="1"/>
  <c r="S90" i="1"/>
  <c r="R91" i="1"/>
  <c r="S91" i="1"/>
  <c r="R85" i="1"/>
  <c r="S85" i="1"/>
  <c r="R86" i="1"/>
  <c r="S86" i="1"/>
  <c r="R87" i="1"/>
  <c r="R73" i="1"/>
  <c r="R74" i="1"/>
  <c r="R75" i="1"/>
  <c r="R76" i="1"/>
  <c r="R77" i="1"/>
  <c r="S78" i="1"/>
  <c r="R79" i="1"/>
  <c r="S80" i="1"/>
  <c r="R81" i="1"/>
  <c r="R82" i="1"/>
  <c r="R83" i="1"/>
  <c r="S84" i="1"/>
  <c r="R5" i="1"/>
  <c r="R6" i="1"/>
  <c r="S7" i="1"/>
  <c r="V8" i="1"/>
  <c r="V9" i="1"/>
  <c r="V10" i="1"/>
  <c r="V11" i="1"/>
  <c r="S12" i="1"/>
  <c r="S13" i="1"/>
  <c r="S14" i="1"/>
  <c r="V15" i="1"/>
  <c r="V16" i="1"/>
  <c r="S17" i="1"/>
  <c r="V18" i="1"/>
  <c r="V19" i="1"/>
  <c r="V20" i="1"/>
  <c r="V21" i="1"/>
  <c r="V22" i="1"/>
  <c r="S23" i="1"/>
  <c r="V24" i="1"/>
  <c r="S25" i="1"/>
  <c r="S26" i="1"/>
  <c r="V27" i="1"/>
  <c r="V28" i="1"/>
  <c r="V29" i="1"/>
  <c r="R30" i="1"/>
  <c r="V31" i="1"/>
  <c r="V32" i="1"/>
  <c r="V33" i="1"/>
  <c r="V34" i="1"/>
  <c r="V35" i="1"/>
  <c r="S36" i="1"/>
  <c r="S37" i="1"/>
  <c r="S38" i="1"/>
  <c r="V39" i="1"/>
  <c r="V40" i="1"/>
  <c r="R41" i="1"/>
  <c r="V42" i="1"/>
  <c r="V43" i="1"/>
  <c r="V44" i="1"/>
  <c r="V45" i="1"/>
  <c r="V46" i="1"/>
  <c r="R47" i="1"/>
  <c r="S48" i="1"/>
  <c r="S49" i="1"/>
  <c r="S50" i="1"/>
  <c r="V51" i="1"/>
  <c r="R52" i="1"/>
  <c r="S53" i="1"/>
  <c r="R54" i="1"/>
  <c r="V55" i="1"/>
  <c r="V56" i="1"/>
  <c r="V58" i="1"/>
  <c r="V59" i="1"/>
  <c r="S60" i="1"/>
  <c r="S61" i="1"/>
  <c r="S62" i="1"/>
  <c r="S63" i="1"/>
  <c r="V64" i="1"/>
  <c r="S65" i="1"/>
  <c r="V66" i="1"/>
  <c r="V67" i="1"/>
  <c r="V68" i="1"/>
  <c r="V69" i="1"/>
  <c r="V70" i="1"/>
  <c r="V71" i="1"/>
  <c r="R72" i="1"/>
  <c r="C16" i="1"/>
  <c r="C17" i="1"/>
  <c r="C15" i="1"/>
  <c r="C33" i="1"/>
  <c r="C34" i="1"/>
  <c r="C35" i="1"/>
  <c r="C32" i="1"/>
  <c r="C26" i="1"/>
  <c r="C24" i="1"/>
  <c r="C25" i="1"/>
  <c r="C23" i="1"/>
  <c r="B36" i="1"/>
  <c r="B27" i="1"/>
  <c r="C7" i="1"/>
  <c r="C8" i="1"/>
  <c r="C9" i="1"/>
  <c r="C5" i="1"/>
  <c r="C6" i="1"/>
  <c r="B10" i="1"/>
  <c r="S87" i="1" l="1"/>
  <c r="S89" i="1"/>
  <c r="S5" i="1"/>
  <c r="R22" i="1"/>
  <c r="V5" i="1"/>
  <c r="V17" i="1"/>
  <c r="S43" i="1"/>
  <c r="R65" i="1"/>
  <c r="S30" i="1"/>
  <c r="R17" i="1"/>
  <c r="R53" i="1"/>
  <c r="V65" i="1"/>
  <c r="V41" i="1"/>
  <c r="S41" i="1"/>
  <c r="R40" i="1"/>
  <c r="R29" i="1"/>
  <c r="S29" i="1"/>
  <c r="S18" i="1"/>
  <c r="R69" i="1"/>
  <c r="R50" i="1"/>
  <c r="R14" i="1"/>
  <c r="V62" i="1"/>
  <c r="V53" i="1"/>
  <c r="R49" i="1"/>
  <c r="R33" i="1"/>
  <c r="R28" i="1"/>
  <c r="R68" i="1"/>
  <c r="S31" i="1"/>
  <c r="R48" i="1"/>
  <c r="R80" i="1"/>
  <c r="R46" i="1"/>
  <c r="R78" i="1"/>
  <c r="S55" i="1"/>
  <c r="S76" i="1"/>
  <c r="V36" i="1"/>
  <c r="R18" i="1"/>
  <c r="V30" i="1"/>
  <c r="S39" i="1"/>
  <c r="R39" i="1"/>
  <c r="R63" i="1"/>
  <c r="S68" i="1"/>
  <c r="R38" i="1"/>
  <c r="R62" i="1"/>
  <c r="S67" i="1"/>
  <c r="S27" i="1"/>
  <c r="R35" i="1"/>
  <c r="R59" i="1"/>
  <c r="S66" i="1"/>
  <c r="S19" i="1"/>
  <c r="S77" i="1"/>
  <c r="R23" i="1"/>
  <c r="R84" i="1"/>
  <c r="S15" i="1"/>
  <c r="R21" i="1"/>
  <c r="R26" i="1"/>
  <c r="S51" i="1"/>
  <c r="R71" i="1"/>
  <c r="R45" i="1"/>
  <c r="V63" i="1"/>
  <c r="R32" i="1"/>
  <c r="R64" i="1"/>
  <c r="R44" i="1"/>
  <c r="R20" i="1"/>
  <c r="R42" i="1"/>
  <c r="S52" i="1"/>
  <c r="V38" i="1"/>
  <c r="S81" i="1"/>
  <c r="R15" i="1"/>
  <c r="R27" i="1"/>
  <c r="R56" i="1"/>
  <c r="S42" i="1"/>
  <c r="S16" i="1"/>
  <c r="V26" i="1"/>
  <c r="R51" i="1"/>
  <c r="S40" i="1"/>
  <c r="S74" i="1"/>
  <c r="V14" i="1"/>
  <c r="S73" i="1"/>
  <c r="S64" i="1"/>
  <c r="R66" i="1"/>
  <c r="V54" i="1"/>
  <c r="S82" i="1"/>
  <c r="S54" i="1"/>
  <c r="S28" i="1"/>
  <c r="R55" i="1"/>
  <c r="V72" i="1"/>
  <c r="V48" i="1"/>
  <c r="V49" i="1"/>
  <c r="R25" i="1"/>
  <c r="R13" i="1"/>
  <c r="R31" i="1"/>
  <c r="R67" i="1"/>
  <c r="R24" i="1"/>
  <c r="R12" i="1"/>
  <c r="V13" i="1"/>
  <c r="S83" i="1"/>
  <c r="S79" i="1"/>
  <c r="S75" i="1"/>
  <c r="S72" i="1"/>
  <c r="V12" i="1"/>
  <c r="S24" i="1"/>
  <c r="V37" i="1"/>
  <c r="V60" i="1"/>
  <c r="V25" i="1"/>
  <c r="V61" i="1"/>
  <c r="R19" i="1"/>
  <c r="R37" i="1"/>
  <c r="R61" i="1"/>
  <c r="R36" i="1"/>
  <c r="R60" i="1"/>
  <c r="R16" i="1"/>
  <c r="R34" i="1"/>
  <c r="R70" i="1"/>
  <c r="R58" i="1"/>
  <c r="R43" i="1"/>
  <c r="V50" i="1"/>
  <c r="R11" i="1"/>
  <c r="V7" i="1"/>
  <c r="R10" i="1"/>
  <c r="R8" i="1"/>
  <c r="V47" i="1"/>
  <c r="V23" i="1"/>
  <c r="R7" i="1"/>
  <c r="S47" i="1"/>
  <c r="S35" i="1"/>
  <c r="S11" i="1"/>
  <c r="V6" i="1"/>
  <c r="S71" i="1"/>
  <c r="S59" i="1"/>
  <c r="S46" i="1"/>
  <c r="S34" i="1"/>
  <c r="S22" i="1"/>
  <c r="S10" i="1"/>
  <c r="S6" i="1"/>
  <c r="R9" i="1"/>
  <c r="S70" i="1"/>
  <c r="S58" i="1"/>
  <c r="S45" i="1"/>
  <c r="S33" i="1"/>
  <c r="S21" i="1"/>
  <c r="S9" i="1"/>
  <c r="V52" i="1"/>
  <c r="S69" i="1"/>
  <c r="S56" i="1"/>
  <c r="S44" i="1"/>
  <c r="S32" i="1"/>
  <c r="S20" i="1"/>
  <c r="S8" i="1"/>
  <c r="V4" i="1"/>
  <c r="R4" i="1"/>
  <c r="S4" i="1"/>
  <c r="V57" i="1"/>
  <c r="S57" i="1"/>
  <c r="R57" i="1"/>
  <c r="B18" i="1" l="1"/>
</calcChain>
</file>

<file path=xl/sharedStrings.xml><?xml version="1.0" encoding="utf-8"?>
<sst xmlns="http://schemas.openxmlformats.org/spreadsheetml/2006/main" count="63" uniqueCount="42">
  <si>
    <t>Probability</t>
  </si>
  <si>
    <t>F(x)</t>
  </si>
  <si>
    <t>RN</t>
  </si>
  <si>
    <t>Lower Bound</t>
  </si>
  <si>
    <t>TOTAL</t>
  </si>
  <si>
    <t>00-19</t>
  </si>
  <si>
    <t>90-99</t>
  </si>
  <si>
    <t>Acuity Definitions:</t>
  </si>
  <si>
    <t>Distribution of Patient Interarrival Times</t>
  </si>
  <si>
    <t>Distribution of Patient Acuity Levels</t>
  </si>
  <si>
    <t>Acuity Level</t>
  </si>
  <si>
    <t>Level 1: patient is stable and requires minimal monitoring</t>
  </si>
  <si>
    <t>Level 2: moderate-risk patient</t>
  </si>
  <si>
    <t>Level 3: complex patient requiring frequent care and continuous monitoring</t>
  </si>
  <si>
    <t>Level 4: high-risk patient requiring constant nursing supervision</t>
  </si>
  <si>
    <t>Distribution of Patient Visit Lengths</t>
  </si>
  <si>
    <t>Visit Length (hours)</t>
  </si>
  <si>
    <t>00-14</t>
  </si>
  <si>
    <t>15-44</t>
  </si>
  <si>
    <t>45-69</t>
  </si>
  <si>
    <t>70-89</t>
  </si>
  <si>
    <t>20-53</t>
  </si>
  <si>
    <t>54-73</t>
  </si>
  <si>
    <t>74-99</t>
  </si>
  <si>
    <t>00-09</t>
  </si>
  <si>
    <t>28-68</t>
  </si>
  <si>
    <t>69-99</t>
  </si>
  <si>
    <t>10-27</t>
  </si>
  <si>
    <t>Monte Carlo Distributions</t>
  </si>
  <si>
    <t>Random Number</t>
  </si>
  <si>
    <t>Interarrival Time (minutes)</t>
  </si>
  <si>
    <t>Patient Department Distribution</t>
  </si>
  <si>
    <t>Department</t>
  </si>
  <si>
    <t>ED</t>
  </si>
  <si>
    <t>AS</t>
  </si>
  <si>
    <t>ICU</t>
  </si>
  <si>
    <t>00-24</t>
  </si>
  <si>
    <t>25-64</t>
  </si>
  <si>
    <t>65-99</t>
  </si>
  <si>
    <t>Sample Generation</t>
  </si>
  <si>
    <t>Total Hours</t>
  </si>
  <si>
    <t>Total Patient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</si>
</sst>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8"/>
      <color rgb="FF000000"/>
      <name val="Calibri"/>
      <family val="2"/>
    </font>
    <font>
      <sz val="18"/>
      <color theme="1"/>
      <name val="Calibri"/>
      <family val="2"/>
    </font>
    <font>
      <sz val="18"/>
      <color theme="1"/>
      <name val="Aptos Narrow"/>
      <family val="2"/>
      <scheme val="minor"/>
    </font>
    <font>
      <sz val="18"/>
      <color theme="1"/>
      <name val="Aptos Narrow (Body)"/>
    </font>
    <font>
      <sz val="8"/>
      <name val="Aptos Narrow"/>
      <family val="2"/>
      <scheme val="minor"/>
    </font>
    <font>
      <sz val="16"/>
      <color rgb="FF000000"/>
      <name val="Calibri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2" fontId="1" fillId="0" borderId="1" xfId="0" applyNumberFormat="1" applyFont="1" applyBorder="1" applyAlignment="1">
      <alignment horizontal="center" vertical="center" wrapText="1" readingOrder="1"/>
    </xf>
    <xf numFmtId="2" fontId="2" fillId="0" borderId="1" xfId="0" applyNumberFormat="1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/>
    <xf numFmtId="0" fontId="4" fillId="0" borderId="0" xfId="0" applyFont="1"/>
    <xf numFmtId="49" fontId="2" fillId="0" borderId="1" xfId="0" applyNumberFormat="1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1" fontId="7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 wrapText="1" readingOrder="1"/>
    </xf>
    <xf numFmtId="1" fontId="7" fillId="0" borderId="3" xfId="0" applyNumberFormat="1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079B-FB76-F54D-BB6B-F087DFCF1D98}">
  <dimension ref="A1:Y96"/>
  <sheetViews>
    <sheetView tabSelected="1" topLeftCell="H1" workbookViewId="0">
      <selection activeCell="W21" sqref="W21"/>
    </sheetView>
  </sheetViews>
  <sheetFormatPr baseColWidth="10" defaultRowHeight="16" x14ac:dyDescent="0.2"/>
  <cols>
    <col min="1" max="5" width="19.5" customWidth="1"/>
    <col min="17" max="19" width="20" customWidth="1"/>
    <col min="21" max="22" width="20.5" customWidth="1"/>
    <col min="24" max="25" width="20.1640625" customWidth="1"/>
  </cols>
  <sheetData>
    <row r="1" spans="1:25" ht="24" x14ac:dyDescent="0.3">
      <c r="A1" s="6" t="s">
        <v>28</v>
      </c>
      <c r="Q1" s="5" t="s">
        <v>39</v>
      </c>
    </row>
    <row r="2" spans="1:25" ht="17" thickBot="1" x14ac:dyDescent="0.25"/>
    <row r="3" spans="1:25" ht="45" thickBot="1" x14ac:dyDescent="0.35">
      <c r="A3" s="5" t="s">
        <v>8</v>
      </c>
      <c r="Q3" s="8" t="s">
        <v>29</v>
      </c>
      <c r="R3" s="8" t="s">
        <v>30</v>
      </c>
      <c r="S3" s="8" t="s">
        <v>32</v>
      </c>
      <c r="U3" s="8" t="s">
        <v>29</v>
      </c>
      <c r="V3" s="11" t="s">
        <v>10</v>
      </c>
      <c r="X3" s="8" t="s">
        <v>29</v>
      </c>
      <c r="Y3" s="11" t="s">
        <v>16</v>
      </c>
    </row>
    <row r="4" spans="1:25" ht="76" thickBot="1" x14ac:dyDescent="0.25">
      <c r="A4" s="1" t="s">
        <v>30</v>
      </c>
      <c r="B4" s="1" t="s">
        <v>0</v>
      </c>
      <c r="C4" s="1" t="s">
        <v>1</v>
      </c>
      <c r="D4" s="1" t="s">
        <v>2</v>
      </c>
      <c r="E4" s="1" t="s">
        <v>3</v>
      </c>
      <c r="Q4" s="9">
        <v>19</v>
      </c>
      <c r="R4" s="10">
        <f>_xlfn.XLOOKUP(Q4,$E$5:$E$9, $A$5:$A$9,,"-1")</f>
        <v>4</v>
      </c>
      <c r="S4" s="10" t="str">
        <f>_xlfn.XLOOKUP(Q4,$E$15:$E$17, $A$15:$A$17,,"-1")</f>
        <v>AS</v>
      </c>
      <c r="U4" s="12">
        <v>21</v>
      </c>
      <c r="V4" s="13">
        <f>_xlfn.XLOOKUP(Q4,$E$23:$E$26, $A$23:$A$26,,"-1")</f>
        <v>1</v>
      </c>
      <c r="X4" s="12">
        <v>76</v>
      </c>
      <c r="Y4" s="13">
        <f>_xlfn.XLOOKUP(X4,$E$32:$E$35, $A$32:$A$35,,"-1")</f>
        <v>24</v>
      </c>
    </row>
    <row r="5" spans="1:25" ht="26" thickBot="1" x14ac:dyDescent="0.25">
      <c r="A5" s="1">
        <v>2</v>
      </c>
      <c r="B5" s="2">
        <v>0.15</v>
      </c>
      <c r="C5" s="3">
        <f>SUM(B$5:B5)</f>
        <v>0.15</v>
      </c>
      <c r="D5" s="4" t="s">
        <v>17</v>
      </c>
      <c r="E5" s="4">
        <v>0</v>
      </c>
      <c r="Q5" s="9">
        <v>84</v>
      </c>
      <c r="R5" s="10">
        <f t="shared" ref="R5:S68" si="0">_xlfn.XLOOKUP(Q5,$E$5:$E$9, $A$5:$A$9,,"-1")</f>
        <v>8</v>
      </c>
      <c r="S5" s="10" t="str">
        <f t="shared" ref="S5:S68" si="1">_xlfn.XLOOKUP(Q5,$E$15:$E$17, $A$15:$A$17,,"-1")</f>
        <v>ICU</v>
      </c>
      <c r="U5" s="12">
        <v>89</v>
      </c>
      <c r="V5" s="13">
        <f t="shared" ref="V5:V68" si="2">_xlfn.XLOOKUP(Q5,$E$23:$E$26, $A$23:$A$26,,"-1")</f>
        <v>4</v>
      </c>
      <c r="X5" s="12">
        <v>22</v>
      </c>
      <c r="Y5" s="13">
        <f t="shared" ref="Y5:Y68" si="3">_xlfn.XLOOKUP(X5,$E$32:$E$35, $A$32:$A$35,,"-1")</f>
        <v>6</v>
      </c>
    </row>
    <row r="6" spans="1:25" ht="26" thickBot="1" x14ac:dyDescent="0.25">
      <c r="A6" s="1">
        <v>4</v>
      </c>
      <c r="B6" s="2">
        <v>0.3</v>
      </c>
      <c r="C6" s="3">
        <f>SUM(B$5:B6)</f>
        <v>0.44999999999999996</v>
      </c>
      <c r="D6" s="4" t="s">
        <v>18</v>
      </c>
      <c r="E6" s="4">
        <v>15</v>
      </c>
      <c r="Q6" s="9">
        <v>32</v>
      </c>
      <c r="R6" s="10">
        <f t="shared" si="0"/>
        <v>4</v>
      </c>
      <c r="S6" s="10" t="str">
        <f t="shared" si="1"/>
        <v>ED</v>
      </c>
      <c r="U6" s="12">
        <v>64</v>
      </c>
      <c r="V6" s="13">
        <f t="shared" si="2"/>
        <v>2</v>
      </c>
      <c r="X6" s="12">
        <v>43</v>
      </c>
      <c r="Y6" s="13">
        <f t="shared" si="3"/>
        <v>12</v>
      </c>
    </row>
    <row r="7" spans="1:25" ht="26" thickBot="1" x14ac:dyDescent="0.25">
      <c r="A7" s="1">
        <v>6</v>
      </c>
      <c r="B7" s="2">
        <v>0.25</v>
      </c>
      <c r="C7" s="3">
        <f>SUM(B$5:B7)</f>
        <v>0.7</v>
      </c>
      <c r="D7" s="4" t="s">
        <v>19</v>
      </c>
      <c r="E7" s="4">
        <v>45</v>
      </c>
      <c r="Q7" s="9">
        <v>6</v>
      </c>
      <c r="R7" s="10">
        <f t="shared" si="0"/>
        <v>2</v>
      </c>
      <c r="S7" s="10" t="str">
        <f t="shared" si="1"/>
        <v>AS</v>
      </c>
      <c r="U7" s="12">
        <v>61</v>
      </c>
      <c r="V7" s="13">
        <f t="shared" si="2"/>
        <v>1</v>
      </c>
      <c r="X7" s="12">
        <v>75</v>
      </c>
      <c r="Y7" s="13">
        <f t="shared" si="3"/>
        <v>24</v>
      </c>
    </row>
    <row r="8" spans="1:25" ht="26" thickBot="1" x14ac:dyDescent="0.25">
      <c r="A8" s="1">
        <v>8</v>
      </c>
      <c r="B8" s="2">
        <v>0.2</v>
      </c>
      <c r="C8" s="3">
        <f>SUM(B$5:B8)</f>
        <v>0.89999999999999991</v>
      </c>
      <c r="D8" s="4" t="s">
        <v>20</v>
      </c>
      <c r="E8" s="4">
        <v>70</v>
      </c>
      <c r="Q8" s="9">
        <v>58</v>
      </c>
      <c r="R8" s="10">
        <f t="shared" si="0"/>
        <v>6</v>
      </c>
      <c r="S8" s="10" t="str">
        <f t="shared" si="1"/>
        <v>ED</v>
      </c>
      <c r="U8" s="12">
        <v>88</v>
      </c>
      <c r="V8" s="13">
        <f t="shared" si="2"/>
        <v>3</v>
      </c>
      <c r="X8" s="12">
        <v>55</v>
      </c>
      <c r="Y8" s="13">
        <f t="shared" si="3"/>
        <v>12</v>
      </c>
    </row>
    <row r="9" spans="1:25" ht="26" thickBot="1" x14ac:dyDescent="0.25">
      <c r="A9" s="1">
        <v>10</v>
      </c>
      <c r="B9" s="2">
        <v>0.1</v>
      </c>
      <c r="C9" s="3">
        <f>SUM(B$5:B9)</f>
        <v>0.99999999999999989</v>
      </c>
      <c r="D9" s="4" t="s">
        <v>6</v>
      </c>
      <c r="E9" s="4">
        <v>90</v>
      </c>
      <c r="Q9" s="9">
        <v>74</v>
      </c>
      <c r="R9" s="10">
        <f t="shared" si="0"/>
        <v>8</v>
      </c>
      <c r="S9" s="10" t="str">
        <f t="shared" si="1"/>
        <v>ICU</v>
      </c>
      <c r="U9" s="12">
        <v>47</v>
      </c>
      <c r="V9" s="13">
        <f t="shared" si="2"/>
        <v>4</v>
      </c>
      <c r="X9" s="12">
        <v>80</v>
      </c>
      <c r="Y9" s="13">
        <f t="shared" si="3"/>
        <v>24</v>
      </c>
    </row>
    <row r="10" spans="1:25" ht="26" thickBot="1" x14ac:dyDescent="0.25">
      <c r="A10" s="1" t="s">
        <v>4</v>
      </c>
      <c r="B10" s="2">
        <f>SUM(B5:B9)</f>
        <v>0.99999999999999989</v>
      </c>
      <c r="C10" s="4"/>
      <c r="D10" s="4"/>
      <c r="E10" s="4"/>
      <c r="Q10" s="9">
        <v>16</v>
      </c>
      <c r="R10" s="10">
        <f t="shared" si="0"/>
        <v>4</v>
      </c>
      <c r="S10" s="10" t="str">
        <f t="shared" si="1"/>
        <v>AS</v>
      </c>
      <c r="U10" s="12">
        <v>27</v>
      </c>
      <c r="V10" s="13">
        <f t="shared" si="2"/>
        <v>1</v>
      </c>
      <c r="X10" s="12">
        <v>58</v>
      </c>
      <c r="Y10" s="13">
        <f t="shared" si="3"/>
        <v>12</v>
      </c>
    </row>
    <row r="11" spans="1:25" ht="25" thickBot="1" x14ac:dyDescent="0.25">
      <c r="Q11" s="9">
        <v>87</v>
      </c>
      <c r="R11" s="10">
        <f t="shared" si="0"/>
        <v>8</v>
      </c>
      <c r="S11" s="10" t="str">
        <f t="shared" si="1"/>
        <v>ICU</v>
      </c>
      <c r="U11" s="12">
        <v>18</v>
      </c>
      <c r="V11" s="13">
        <f t="shared" si="2"/>
        <v>4</v>
      </c>
      <c r="X11" s="12">
        <v>32</v>
      </c>
      <c r="Y11" s="13">
        <f t="shared" si="3"/>
        <v>12</v>
      </c>
    </row>
    <row r="12" spans="1:25" ht="25" thickBot="1" x14ac:dyDescent="0.25">
      <c r="Q12" s="9">
        <v>86</v>
      </c>
      <c r="R12" s="10">
        <f t="shared" si="0"/>
        <v>8</v>
      </c>
      <c r="S12" s="10" t="str">
        <f t="shared" si="1"/>
        <v>ICU</v>
      </c>
      <c r="U12" s="12">
        <v>79</v>
      </c>
      <c r="V12" s="13">
        <f t="shared" si="2"/>
        <v>4</v>
      </c>
      <c r="X12" s="12">
        <v>72</v>
      </c>
      <c r="Y12" s="13">
        <f t="shared" si="3"/>
        <v>24</v>
      </c>
    </row>
    <row r="13" spans="1:25" ht="25" thickBot="1" x14ac:dyDescent="0.35">
      <c r="A13" s="5" t="s">
        <v>31</v>
      </c>
      <c r="Q13" s="9">
        <v>30</v>
      </c>
      <c r="R13" s="10">
        <f t="shared" si="0"/>
        <v>4</v>
      </c>
      <c r="S13" s="10" t="str">
        <f t="shared" si="1"/>
        <v>ED</v>
      </c>
      <c r="U13" s="12">
        <v>34</v>
      </c>
      <c r="V13" s="13">
        <f t="shared" si="2"/>
        <v>2</v>
      </c>
      <c r="X13" s="12">
        <v>28</v>
      </c>
      <c r="Y13" s="13">
        <f t="shared" si="3"/>
        <v>12</v>
      </c>
    </row>
    <row r="14" spans="1:25" ht="26" thickBot="1" x14ac:dyDescent="0.25">
      <c r="A14" s="1" t="s">
        <v>32</v>
      </c>
      <c r="B14" s="1" t="s">
        <v>0</v>
      </c>
      <c r="C14" s="1" t="s">
        <v>1</v>
      </c>
      <c r="D14" s="1" t="s">
        <v>2</v>
      </c>
      <c r="E14" s="1" t="s">
        <v>3</v>
      </c>
      <c r="Q14" s="9">
        <v>58</v>
      </c>
      <c r="R14" s="10">
        <f t="shared" si="0"/>
        <v>6</v>
      </c>
      <c r="S14" s="10" t="str">
        <f t="shared" si="1"/>
        <v>ED</v>
      </c>
      <c r="U14" s="12">
        <v>51</v>
      </c>
      <c r="V14" s="13">
        <f t="shared" si="2"/>
        <v>3</v>
      </c>
      <c r="X14" s="12">
        <v>65</v>
      </c>
      <c r="Y14" s="13">
        <f t="shared" si="3"/>
        <v>12</v>
      </c>
    </row>
    <row r="15" spans="1:25" ht="26" thickBot="1" x14ac:dyDescent="0.25">
      <c r="A15" s="1" t="s">
        <v>34</v>
      </c>
      <c r="B15" s="2">
        <v>0.25</v>
      </c>
      <c r="C15" s="3">
        <f>SUM(B15:B$15)</f>
        <v>0.25</v>
      </c>
      <c r="D15" s="4" t="s">
        <v>36</v>
      </c>
      <c r="E15" s="4">
        <v>0</v>
      </c>
      <c r="Q15" s="9">
        <v>87</v>
      </c>
      <c r="R15" s="10">
        <f t="shared" si="0"/>
        <v>8</v>
      </c>
      <c r="S15" s="10" t="str">
        <f t="shared" si="1"/>
        <v>ICU</v>
      </c>
      <c r="U15" s="12">
        <v>58</v>
      </c>
      <c r="V15" s="13">
        <f t="shared" si="2"/>
        <v>4</v>
      </c>
      <c r="X15" s="12">
        <v>29</v>
      </c>
      <c r="Y15" s="13">
        <f t="shared" si="3"/>
        <v>12</v>
      </c>
    </row>
    <row r="16" spans="1:25" ht="26" thickBot="1" x14ac:dyDescent="0.25">
      <c r="A16" s="1" t="s">
        <v>33</v>
      </c>
      <c r="B16" s="2">
        <v>0.4</v>
      </c>
      <c r="C16" s="3">
        <f>SUM(B$15:B16)</f>
        <v>0.65</v>
      </c>
      <c r="D16" s="4" t="s">
        <v>37</v>
      </c>
      <c r="E16" s="4">
        <v>25</v>
      </c>
      <c r="Q16" s="9">
        <v>0</v>
      </c>
      <c r="R16" s="10">
        <f t="shared" si="0"/>
        <v>2</v>
      </c>
      <c r="S16" s="10" t="str">
        <f t="shared" si="1"/>
        <v>AS</v>
      </c>
      <c r="U16" s="12">
        <v>51</v>
      </c>
      <c r="V16" s="13">
        <f t="shared" si="2"/>
        <v>1</v>
      </c>
      <c r="X16" s="12">
        <v>90</v>
      </c>
      <c r="Y16" s="13">
        <f t="shared" si="3"/>
        <v>24</v>
      </c>
    </row>
    <row r="17" spans="1:25" ht="26" thickBot="1" x14ac:dyDescent="0.25">
      <c r="A17" s="1" t="s">
        <v>35</v>
      </c>
      <c r="B17" s="2">
        <v>0.35</v>
      </c>
      <c r="C17" s="3">
        <f>SUM(B$15:B17)</f>
        <v>1</v>
      </c>
      <c r="D17" s="4" t="s">
        <v>38</v>
      </c>
      <c r="E17" s="4">
        <v>65</v>
      </c>
      <c r="Q17" s="9">
        <v>4</v>
      </c>
      <c r="R17" s="10">
        <f t="shared" si="0"/>
        <v>2</v>
      </c>
      <c r="S17" s="10" t="str">
        <f t="shared" si="1"/>
        <v>AS</v>
      </c>
      <c r="U17" s="12">
        <v>82</v>
      </c>
      <c r="V17" s="13">
        <f t="shared" si="2"/>
        <v>1</v>
      </c>
      <c r="X17" s="12">
        <v>18</v>
      </c>
      <c r="Y17" s="13">
        <f t="shared" si="3"/>
        <v>6</v>
      </c>
    </row>
    <row r="18" spans="1:25" ht="26" thickBot="1" x14ac:dyDescent="0.25">
      <c r="A18" s="1" t="s">
        <v>4</v>
      </c>
      <c r="B18" s="2">
        <f ca="1">SUM(B15:B18)</f>
        <v>1</v>
      </c>
      <c r="C18" s="4"/>
      <c r="D18" s="4"/>
      <c r="E18" s="4"/>
      <c r="Q18" s="9">
        <v>18</v>
      </c>
      <c r="R18" s="10">
        <f t="shared" si="0"/>
        <v>4</v>
      </c>
      <c r="S18" s="10" t="str">
        <f t="shared" si="1"/>
        <v>AS</v>
      </c>
      <c r="U18" s="12">
        <v>23</v>
      </c>
      <c r="V18" s="13">
        <f t="shared" si="2"/>
        <v>1</v>
      </c>
      <c r="X18" s="12">
        <v>65</v>
      </c>
      <c r="Y18" s="13">
        <f t="shared" si="3"/>
        <v>12</v>
      </c>
    </row>
    <row r="19" spans="1:25" ht="25" thickBot="1" x14ac:dyDescent="0.25">
      <c r="Q19" s="9">
        <v>48</v>
      </c>
      <c r="R19" s="10">
        <f t="shared" si="0"/>
        <v>6</v>
      </c>
      <c r="S19" s="10" t="str">
        <f t="shared" si="1"/>
        <v>ED</v>
      </c>
      <c r="U19" s="12">
        <v>63</v>
      </c>
      <c r="V19" s="13">
        <f t="shared" si="2"/>
        <v>2</v>
      </c>
      <c r="X19" s="12">
        <v>36</v>
      </c>
      <c r="Y19" s="13">
        <f t="shared" si="3"/>
        <v>12</v>
      </c>
    </row>
    <row r="20" spans="1:25" ht="25" thickBot="1" x14ac:dyDescent="0.25">
      <c r="Q20" s="9">
        <v>14</v>
      </c>
      <c r="R20" s="10">
        <f t="shared" si="0"/>
        <v>2</v>
      </c>
      <c r="S20" s="10" t="str">
        <f t="shared" si="1"/>
        <v>AS</v>
      </c>
      <c r="U20" s="12">
        <v>7</v>
      </c>
      <c r="V20" s="13">
        <f t="shared" si="2"/>
        <v>1</v>
      </c>
      <c r="X20" s="12">
        <v>69</v>
      </c>
      <c r="Y20" s="13">
        <f t="shared" si="3"/>
        <v>24</v>
      </c>
    </row>
    <row r="21" spans="1:25" ht="25" thickBot="1" x14ac:dyDescent="0.35">
      <c r="A21" s="5" t="s">
        <v>9</v>
      </c>
      <c r="G21" s="5"/>
      <c r="Q21" s="9">
        <v>80</v>
      </c>
      <c r="R21" s="10">
        <f t="shared" si="0"/>
        <v>8</v>
      </c>
      <c r="S21" s="10" t="str">
        <f t="shared" si="1"/>
        <v>ICU</v>
      </c>
      <c r="U21" s="12">
        <v>87</v>
      </c>
      <c r="V21" s="13">
        <f t="shared" si="2"/>
        <v>4</v>
      </c>
      <c r="X21" s="12">
        <v>29</v>
      </c>
      <c r="Y21" s="13">
        <f t="shared" si="3"/>
        <v>12</v>
      </c>
    </row>
    <row r="22" spans="1:25" ht="26" thickBot="1" x14ac:dyDescent="0.35">
      <c r="A22" s="1" t="s">
        <v>10</v>
      </c>
      <c r="B22" s="1" t="s">
        <v>0</v>
      </c>
      <c r="C22" s="1" t="s">
        <v>1</v>
      </c>
      <c r="D22" s="1" t="s">
        <v>2</v>
      </c>
      <c r="E22" s="1" t="s">
        <v>3</v>
      </c>
      <c r="G22" s="6" t="s">
        <v>7</v>
      </c>
      <c r="Q22" s="9">
        <v>25</v>
      </c>
      <c r="R22" s="10">
        <f t="shared" si="0"/>
        <v>4</v>
      </c>
      <c r="S22" s="10" t="str">
        <f t="shared" si="1"/>
        <v>ED</v>
      </c>
      <c r="U22" s="12">
        <v>49</v>
      </c>
      <c r="V22" s="13">
        <f t="shared" si="2"/>
        <v>2</v>
      </c>
      <c r="X22" s="12">
        <v>86</v>
      </c>
      <c r="Y22" s="13">
        <f t="shared" si="3"/>
        <v>24</v>
      </c>
    </row>
    <row r="23" spans="1:25" ht="26" thickBot="1" x14ac:dyDescent="0.35">
      <c r="A23" s="1">
        <v>1</v>
      </c>
      <c r="B23" s="2">
        <v>0.2</v>
      </c>
      <c r="C23" s="3">
        <f>SUM(B$23:B23)</f>
        <v>0.2</v>
      </c>
      <c r="D23" s="4" t="s">
        <v>5</v>
      </c>
      <c r="E23" s="4">
        <v>0</v>
      </c>
      <c r="G23" s="5" t="s">
        <v>11</v>
      </c>
      <c r="H23" s="5"/>
      <c r="I23" s="5"/>
      <c r="J23" s="5"/>
      <c r="K23" s="5"/>
      <c r="Q23" s="9">
        <v>39</v>
      </c>
      <c r="R23" s="10">
        <f t="shared" si="0"/>
        <v>4</v>
      </c>
      <c r="S23" s="10" t="str">
        <f t="shared" si="1"/>
        <v>ED</v>
      </c>
      <c r="U23" s="12">
        <v>82</v>
      </c>
      <c r="V23" s="13">
        <f t="shared" si="2"/>
        <v>2</v>
      </c>
      <c r="X23" s="12">
        <v>38</v>
      </c>
      <c r="Y23" s="13">
        <f t="shared" si="3"/>
        <v>12</v>
      </c>
    </row>
    <row r="24" spans="1:25" ht="26" thickBot="1" x14ac:dyDescent="0.35">
      <c r="A24" s="1">
        <v>2</v>
      </c>
      <c r="B24" s="2">
        <v>0.34</v>
      </c>
      <c r="C24" s="3">
        <f>SUM(B$23:B24)</f>
        <v>0.54</v>
      </c>
      <c r="D24" s="4" t="s">
        <v>21</v>
      </c>
      <c r="E24" s="4">
        <v>20</v>
      </c>
      <c r="G24" s="5" t="s">
        <v>12</v>
      </c>
      <c r="H24" s="5"/>
      <c r="I24" s="5"/>
      <c r="J24" s="5"/>
      <c r="K24" s="5"/>
      <c r="Q24" s="9">
        <v>37</v>
      </c>
      <c r="R24" s="10">
        <f t="shared" si="0"/>
        <v>4</v>
      </c>
      <c r="S24" s="10" t="str">
        <f t="shared" si="1"/>
        <v>ED</v>
      </c>
      <c r="U24" s="12">
        <v>44</v>
      </c>
      <c r="V24" s="13">
        <f t="shared" si="2"/>
        <v>2</v>
      </c>
      <c r="X24" s="12">
        <v>31</v>
      </c>
      <c r="Y24" s="13">
        <f t="shared" si="3"/>
        <v>12</v>
      </c>
    </row>
    <row r="25" spans="1:25" ht="26" thickBot="1" x14ac:dyDescent="0.35">
      <c r="A25" s="1">
        <v>3</v>
      </c>
      <c r="B25" s="2">
        <v>0.2</v>
      </c>
      <c r="C25" s="3">
        <f>SUM(B$23:B25)</f>
        <v>0.74</v>
      </c>
      <c r="D25" s="4" t="s">
        <v>22</v>
      </c>
      <c r="E25" s="4">
        <v>54</v>
      </c>
      <c r="G25" s="5" t="s">
        <v>13</v>
      </c>
      <c r="H25" s="5"/>
      <c r="I25" s="5"/>
      <c r="J25" s="5"/>
      <c r="K25" s="5"/>
      <c r="Q25" s="9">
        <v>57</v>
      </c>
      <c r="R25" s="10">
        <f t="shared" si="0"/>
        <v>6</v>
      </c>
      <c r="S25" s="10" t="str">
        <f t="shared" si="1"/>
        <v>ED</v>
      </c>
      <c r="U25" s="12">
        <v>41</v>
      </c>
      <c r="V25" s="13">
        <f t="shared" si="2"/>
        <v>3</v>
      </c>
      <c r="X25" s="12">
        <v>53</v>
      </c>
      <c r="Y25" s="13">
        <f t="shared" si="3"/>
        <v>12</v>
      </c>
    </row>
    <row r="26" spans="1:25" ht="26" thickBot="1" x14ac:dyDescent="0.35">
      <c r="A26" s="1">
        <v>4</v>
      </c>
      <c r="B26" s="2">
        <v>0.26</v>
      </c>
      <c r="C26" s="3">
        <f>SUM(B$23:B26)</f>
        <v>1</v>
      </c>
      <c r="D26" s="4" t="s">
        <v>23</v>
      </c>
      <c r="E26" s="4">
        <v>74</v>
      </c>
      <c r="G26" s="5" t="s">
        <v>14</v>
      </c>
      <c r="H26" s="5"/>
      <c r="I26" s="5"/>
      <c r="J26" s="5"/>
      <c r="K26" s="5"/>
      <c r="Q26" s="9">
        <v>59</v>
      </c>
      <c r="R26" s="10">
        <f t="shared" si="0"/>
        <v>6</v>
      </c>
      <c r="S26" s="10" t="str">
        <f t="shared" si="1"/>
        <v>ED</v>
      </c>
      <c r="U26" s="12">
        <v>29</v>
      </c>
      <c r="V26" s="13">
        <f t="shared" si="2"/>
        <v>3</v>
      </c>
      <c r="X26" s="12">
        <v>3</v>
      </c>
      <c r="Y26" s="13">
        <f t="shared" si="3"/>
        <v>3</v>
      </c>
    </row>
    <row r="27" spans="1:25" ht="26" thickBot="1" x14ac:dyDescent="0.35">
      <c r="A27" s="1" t="s">
        <v>4</v>
      </c>
      <c r="B27" s="2">
        <f>SUM(B23:B26)</f>
        <v>1</v>
      </c>
      <c r="C27" s="4"/>
      <c r="D27" s="4"/>
      <c r="E27" s="4"/>
      <c r="G27" s="5"/>
      <c r="H27" s="5"/>
      <c r="I27" s="5"/>
      <c r="J27" s="5"/>
      <c r="K27" s="5"/>
      <c r="Q27" s="9">
        <v>61</v>
      </c>
      <c r="R27" s="10">
        <f t="shared" si="0"/>
        <v>6</v>
      </c>
      <c r="S27" s="10" t="str">
        <f t="shared" si="1"/>
        <v>ED</v>
      </c>
      <c r="U27" s="12">
        <v>86</v>
      </c>
      <c r="V27" s="13">
        <f t="shared" si="2"/>
        <v>3</v>
      </c>
      <c r="X27" s="12">
        <v>94</v>
      </c>
      <c r="Y27" s="13">
        <f t="shared" si="3"/>
        <v>24</v>
      </c>
    </row>
    <row r="28" spans="1:25" ht="25" thickBot="1" x14ac:dyDescent="0.25">
      <c r="Q28" s="9">
        <v>36</v>
      </c>
      <c r="R28" s="10">
        <f t="shared" si="0"/>
        <v>4</v>
      </c>
      <c r="S28" s="10" t="str">
        <f t="shared" si="1"/>
        <v>ED</v>
      </c>
      <c r="U28" s="12">
        <v>72</v>
      </c>
      <c r="V28" s="13">
        <f t="shared" si="2"/>
        <v>2</v>
      </c>
      <c r="X28" s="12">
        <v>56</v>
      </c>
      <c r="Y28" s="13">
        <f t="shared" si="3"/>
        <v>12</v>
      </c>
    </row>
    <row r="29" spans="1:25" ht="25" thickBot="1" x14ac:dyDescent="0.25">
      <c r="Q29" s="9">
        <v>63</v>
      </c>
      <c r="R29" s="10">
        <f t="shared" si="0"/>
        <v>6</v>
      </c>
      <c r="S29" s="10" t="str">
        <f t="shared" si="1"/>
        <v>ED</v>
      </c>
      <c r="U29" s="12">
        <v>0</v>
      </c>
      <c r="V29" s="13">
        <f t="shared" si="2"/>
        <v>3</v>
      </c>
      <c r="X29" s="12">
        <v>84</v>
      </c>
      <c r="Y29" s="13">
        <f t="shared" si="3"/>
        <v>24</v>
      </c>
    </row>
    <row r="30" spans="1:25" ht="25" thickBot="1" x14ac:dyDescent="0.35">
      <c r="A30" s="5" t="s">
        <v>15</v>
      </c>
      <c r="Q30" s="9">
        <v>20</v>
      </c>
      <c r="R30" s="10">
        <f t="shared" si="0"/>
        <v>4</v>
      </c>
      <c r="S30" s="10" t="str">
        <f t="shared" si="1"/>
        <v>AS</v>
      </c>
      <c r="U30" s="12">
        <v>74</v>
      </c>
      <c r="V30" s="13">
        <f t="shared" si="2"/>
        <v>2</v>
      </c>
      <c r="X30" s="12">
        <v>71</v>
      </c>
      <c r="Y30" s="13">
        <f t="shared" si="3"/>
        <v>24</v>
      </c>
    </row>
    <row r="31" spans="1:25" ht="51" thickBot="1" x14ac:dyDescent="0.25">
      <c r="A31" s="1" t="s">
        <v>16</v>
      </c>
      <c r="B31" s="1" t="s">
        <v>0</v>
      </c>
      <c r="C31" s="1" t="s">
        <v>1</v>
      </c>
      <c r="D31" s="1" t="s">
        <v>2</v>
      </c>
      <c r="E31" s="1" t="s">
        <v>3</v>
      </c>
      <c r="Q31" s="9">
        <v>98</v>
      </c>
      <c r="R31" s="10">
        <f t="shared" si="0"/>
        <v>10</v>
      </c>
      <c r="S31" s="10" t="str">
        <f t="shared" si="1"/>
        <v>ICU</v>
      </c>
      <c r="U31" s="12">
        <v>22</v>
      </c>
      <c r="V31" s="13">
        <f t="shared" si="2"/>
        <v>4</v>
      </c>
      <c r="X31" s="12">
        <v>99</v>
      </c>
      <c r="Y31" s="13">
        <f t="shared" si="3"/>
        <v>24</v>
      </c>
    </row>
    <row r="32" spans="1:25" ht="26" thickBot="1" x14ac:dyDescent="0.25">
      <c r="A32" s="1">
        <v>3</v>
      </c>
      <c r="B32" s="2">
        <v>0.1</v>
      </c>
      <c r="C32" s="3">
        <f>SUM(B$32:B32)</f>
        <v>0.1</v>
      </c>
      <c r="D32" s="4" t="s">
        <v>24</v>
      </c>
      <c r="E32" s="4">
        <v>0</v>
      </c>
      <c r="Q32" s="9">
        <v>70</v>
      </c>
      <c r="R32" s="10">
        <f t="shared" si="0"/>
        <v>8</v>
      </c>
      <c r="S32" s="10" t="str">
        <f t="shared" si="1"/>
        <v>ICU</v>
      </c>
      <c r="U32" s="12">
        <v>12</v>
      </c>
      <c r="V32" s="13">
        <f t="shared" si="2"/>
        <v>3</v>
      </c>
      <c r="X32" s="12">
        <v>49</v>
      </c>
      <c r="Y32" s="13">
        <f t="shared" si="3"/>
        <v>12</v>
      </c>
    </row>
    <row r="33" spans="1:25" ht="26" thickBot="1" x14ac:dyDescent="0.25">
      <c r="A33" s="1">
        <v>6</v>
      </c>
      <c r="B33" s="2">
        <v>0.18</v>
      </c>
      <c r="C33" s="3">
        <f>SUM(B$32:B33)</f>
        <v>0.28000000000000003</v>
      </c>
      <c r="D33" s="7" t="s">
        <v>27</v>
      </c>
      <c r="E33" s="4">
        <v>10</v>
      </c>
      <c r="Q33" s="9">
        <v>86</v>
      </c>
      <c r="R33" s="10">
        <f t="shared" si="0"/>
        <v>8</v>
      </c>
      <c r="S33" s="10" t="str">
        <f t="shared" si="1"/>
        <v>ICU</v>
      </c>
      <c r="U33" s="12">
        <v>36</v>
      </c>
      <c r="V33" s="13">
        <f t="shared" si="2"/>
        <v>4</v>
      </c>
      <c r="X33" s="12">
        <v>82</v>
      </c>
      <c r="Y33" s="13">
        <f t="shared" si="3"/>
        <v>24</v>
      </c>
    </row>
    <row r="34" spans="1:25" ht="26" thickBot="1" x14ac:dyDescent="0.25">
      <c r="A34" s="1">
        <v>12</v>
      </c>
      <c r="B34" s="2">
        <v>0.41</v>
      </c>
      <c r="C34" s="3">
        <f>SUM(B$32:B34)</f>
        <v>0.69</v>
      </c>
      <c r="D34" s="4" t="s">
        <v>25</v>
      </c>
      <c r="E34" s="4">
        <v>28</v>
      </c>
      <c r="Q34" s="9">
        <v>72</v>
      </c>
      <c r="R34" s="10">
        <f t="shared" si="0"/>
        <v>8</v>
      </c>
      <c r="S34" s="10" t="str">
        <f t="shared" si="1"/>
        <v>ICU</v>
      </c>
      <c r="U34" s="12">
        <v>69</v>
      </c>
      <c r="V34" s="13">
        <f t="shared" si="2"/>
        <v>3</v>
      </c>
      <c r="X34" s="12">
        <v>19</v>
      </c>
      <c r="Y34" s="13">
        <f t="shared" si="3"/>
        <v>6</v>
      </c>
    </row>
    <row r="35" spans="1:25" ht="26" thickBot="1" x14ac:dyDescent="0.25">
      <c r="A35" s="1">
        <v>24</v>
      </c>
      <c r="B35" s="2">
        <v>0.31</v>
      </c>
      <c r="C35" s="3">
        <f>SUM(B$32:B35)</f>
        <v>1</v>
      </c>
      <c r="D35" s="4" t="s">
        <v>26</v>
      </c>
      <c r="E35" s="4">
        <v>69</v>
      </c>
      <c r="Q35" s="9">
        <v>27</v>
      </c>
      <c r="R35" s="10">
        <f t="shared" si="0"/>
        <v>4</v>
      </c>
      <c r="S35" s="10" t="str">
        <f t="shared" si="1"/>
        <v>ED</v>
      </c>
      <c r="U35" s="12">
        <v>1</v>
      </c>
      <c r="V35" s="13">
        <f t="shared" si="2"/>
        <v>2</v>
      </c>
      <c r="X35" s="12">
        <v>18</v>
      </c>
      <c r="Y35" s="13">
        <f t="shared" si="3"/>
        <v>6</v>
      </c>
    </row>
    <row r="36" spans="1:25" ht="26" thickBot="1" x14ac:dyDescent="0.25">
      <c r="A36" s="1" t="s">
        <v>4</v>
      </c>
      <c r="B36" s="2">
        <f>SUM(B32:B35)</f>
        <v>1</v>
      </c>
      <c r="C36" s="4"/>
      <c r="D36" s="4"/>
      <c r="E36" s="4"/>
      <c r="Q36" s="9">
        <v>50</v>
      </c>
      <c r="R36" s="10">
        <f t="shared" si="0"/>
        <v>6</v>
      </c>
      <c r="S36" s="10" t="str">
        <f t="shared" si="1"/>
        <v>ED</v>
      </c>
      <c r="U36" s="12">
        <v>55</v>
      </c>
      <c r="V36" s="13">
        <f t="shared" si="2"/>
        <v>2</v>
      </c>
      <c r="X36" s="12">
        <v>19</v>
      </c>
      <c r="Y36" s="13">
        <f t="shared" si="3"/>
        <v>6</v>
      </c>
    </row>
    <row r="37" spans="1:25" ht="25" thickBot="1" x14ac:dyDescent="0.25">
      <c r="Q37" s="9">
        <v>76</v>
      </c>
      <c r="R37" s="10">
        <f t="shared" si="0"/>
        <v>8</v>
      </c>
      <c r="S37" s="10" t="str">
        <f t="shared" si="1"/>
        <v>ICU</v>
      </c>
      <c r="U37" s="12">
        <v>66</v>
      </c>
      <c r="V37" s="13">
        <f t="shared" si="2"/>
        <v>4</v>
      </c>
      <c r="X37" s="12">
        <v>65</v>
      </c>
      <c r="Y37" s="13">
        <f t="shared" si="3"/>
        <v>12</v>
      </c>
    </row>
    <row r="38" spans="1:25" ht="25" thickBot="1" x14ac:dyDescent="0.25">
      <c r="Q38" s="9">
        <v>26</v>
      </c>
      <c r="R38" s="10">
        <f t="shared" si="0"/>
        <v>4</v>
      </c>
      <c r="S38" s="10" t="str">
        <f t="shared" si="1"/>
        <v>ED</v>
      </c>
      <c r="U38" s="12">
        <v>48</v>
      </c>
      <c r="V38" s="13">
        <f t="shared" si="2"/>
        <v>2</v>
      </c>
      <c r="X38" s="12">
        <v>15</v>
      </c>
      <c r="Y38" s="13">
        <f t="shared" si="3"/>
        <v>6</v>
      </c>
    </row>
    <row r="39" spans="1:25" ht="25" thickBot="1" x14ac:dyDescent="0.25">
      <c r="Q39" s="9">
        <v>58</v>
      </c>
      <c r="R39" s="10">
        <f t="shared" si="0"/>
        <v>6</v>
      </c>
      <c r="S39" s="10" t="str">
        <f t="shared" si="1"/>
        <v>ED</v>
      </c>
      <c r="U39" s="12">
        <v>40</v>
      </c>
      <c r="V39" s="13">
        <f t="shared" si="2"/>
        <v>3</v>
      </c>
      <c r="X39" s="12">
        <v>80</v>
      </c>
      <c r="Y39" s="13">
        <f t="shared" si="3"/>
        <v>24</v>
      </c>
    </row>
    <row r="40" spans="1:25" ht="25" thickBot="1" x14ac:dyDescent="0.25">
      <c r="Q40" s="9">
        <v>70</v>
      </c>
      <c r="R40" s="10">
        <f t="shared" si="0"/>
        <v>8</v>
      </c>
      <c r="S40" s="10" t="str">
        <f t="shared" si="1"/>
        <v>ICU</v>
      </c>
      <c r="U40" s="12">
        <v>32</v>
      </c>
      <c r="V40" s="13">
        <f t="shared" si="2"/>
        <v>3</v>
      </c>
      <c r="X40" s="12">
        <v>17</v>
      </c>
      <c r="Y40" s="13">
        <f t="shared" si="3"/>
        <v>6</v>
      </c>
    </row>
    <row r="41" spans="1:25" ht="25" thickBot="1" x14ac:dyDescent="0.25">
      <c r="Q41" s="9">
        <v>97</v>
      </c>
      <c r="R41" s="10">
        <f t="shared" si="0"/>
        <v>10</v>
      </c>
      <c r="S41" s="10" t="str">
        <f t="shared" si="1"/>
        <v>ICU</v>
      </c>
      <c r="U41" s="12">
        <v>69</v>
      </c>
      <c r="V41" s="13">
        <f t="shared" si="2"/>
        <v>4</v>
      </c>
      <c r="X41" s="12">
        <v>21</v>
      </c>
      <c r="Y41" s="13">
        <f t="shared" si="3"/>
        <v>6</v>
      </c>
    </row>
    <row r="42" spans="1:25" ht="25" thickBot="1" x14ac:dyDescent="0.25">
      <c r="Q42" s="9">
        <v>18</v>
      </c>
      <c r="R42" s="10">
        <f t="shared" si="0"/>
        <v>4</v>
      </c>
      <c r="S42" s="10" t="str">
        <f t="shared" si="1"/>
        <v>AS</v>
      </c>
      <c r="U42" s="12">
        <v>68</v>
      </c>
      <c r="V42" s="13">
        <f t="shared" si="2"/>
        <v>1</v>
      </c>
      <c r="X42" s="12">
        <v>84</v>
      </c>
      <c r="Y42" s="13">
        <f t="shared" si="3"/>
        <v>24</v>
      </c>
    </row>
    <row r="43" spans="1:25" ht="25" thickBot="1" x14ac:dyDescent="0.25">
      <c r="Q43" s="9">
        <v>44</v>
      </c>
      <c r="R43" s="10">
        <f t="shared" si="0"/>
        <v>4</v>
      </c>
      <c r="S43" s="10" t="str">
        <f t="shared" si="1"/>
        <v>ED</v>
      </c>
      <c r="U43" s="12">
        <v>96</v>
      </c>
      <c r="V43" s="13">
        <f t="shared" si="2"/>
        <v>2</v>
      </c>
      <c r="X43" s="12">
        <v>98</v>
      </c>
      <c r="Y43" s="13">
        <f t="shared" si="3"/>
        <v>24</v>
      </c>
    </row>
    <row r="44" spans="1:25" ht="25" thickBot="1" x14ac:dyDescent="0.25">
      <c r="Q44" s="9">
        <v>51</v>
      </c>
      <c r="R44" s="10">
        <f t="shared" si="0"/>
        <v>6</v>
      </c>
      <c r="S44" s="10" t="str">
        <f t="shared" si="1"/>
        <v>ED</v>
      </c>
      <c r="U44" s="12">
        <v>6</v>
      </c>
      <c r="V44" s="13">
        <f t="shared" si="2"/>
        <v>2</v>
      </c>
      <c r="X44" s="12">
        <v>51</v>
      </c>
      <c r="Y44" s="13">
        <f t="shared" si="3"/>
        <v>12</v>
      </c>
    </row>
    <row r="45" spans="1:25" ht="25" thickBot="1" x14ac:dyDescent="0.25">
      <c r="Q45" s="9">
        <v>92</v>
      </c>
      <c r="R45" s="10">
        <f t="shared" si="0"/>
        <v>10</v>
      </c>
      <c r="S45" s="10" t="str">
        <f t="shared" si="1"/>
        <v>ICU</v>
      </c>
      <c r="U45" s="12">
        <v>64</v>
      </c>
      <c r="V45" s="13">
        <f t="shared" si="2"/>
        <v>4</v>
      </c>
      <c r="X45" s="12">
        <v>11</v>
      </c>
      <c r="Y45" s="13">
        <f t="shared" si="3"/>
        <v>6</v>
      </c>
    </row>
    <row r="46" spans="1:25" ht="25" thickBot="1" x14ac:dyDescent="0.25">
      <c r="Q46" s="9">
        <v>88</v>
      </c>
      <c r="R46" s="10">
        <f t="shared" si="0"/>
        <v>8</v>
      </c>
      <c r="S46" s="10" t="str">
        <f t="shared" si="1"/>
        <v>ICU</v>
      </c>
      <c r="U46" s="12">
        <v>81</v>
      </c>
      <c r="V46" s="13">
        <f t="shared" si="2"/>
        <v>4</v>
      </c>
      <c r="X46" s="12">
        <v>8</v>
      </c>
      <c r="Y46" s="13">
        <f t="shared" si="3"/>
        <v>3</v>
      </c>
    </row>
    <row r="47" spans="1:25" ht="25" thickBot="1" x14ac:dyDescent="0.25">
      <c r="Q47" s="9">
        <v>24</v>
      </c>
      <c r="R47" s="10">
        <f t="shared" si="0"/>
        <v>4</v>
      </c>
      <c r="S47" s="10" t="str">
        <f t="shared" si="1"/>
        <v>AS</v>
      </c>
      <c r="U47" s="12">
        <v>18</v>
      </c>
      <c r="V47" s="13">
        <f t="shared" si="2"/>
        <v>2</v>
      </c>
      <c r="X47" s="12">
        <v>31</v>
      </c>
      <c r="Y47" s="13">
        <f t="shared" si="3"/>
        <v>12</v>
      </c>
    </row>
    <row r="48" spans="1:25" ht="25" thickBot="1" x14ac:dyDescent="0.25">
      <c r="Q48" s="9">
        <v>71</v>
      </c>
      <c r="R48" s="10">
        <f t="shared" si="0"/>
        <v>8</v>
      </c>
      <c r="S48" s="10" t="str">
        <f t="shared" si="1"/>
        <v>ICU</v>
      </c>
      <c r="U48" s="12">
        <v>19</v>
      </c>
      <c r="V48" s="13">
        <f t="shared" si="2"/>
        <v>3</v>
      </c>
      <c r="X48" s="12">
        <v>49</v>
      </c>
      <c r="Y48" s="13">
        <f t="shared" si="3"/>
        <v>12</v>
      </c>
    </row>
    <row r="49" spans="17:25" ht="25" thickBot="1" x14ac:dyDescent="0.25">
      <c r="Q49" s="9">
        <v>55</v>
      </c>
      <c r="R49" s="10">
        <f t="shared" si="0"/>
        <v>6</v>
      </c>
      <c r="S49" s="10" t="str">
        <f t="shared" si="1"/>
        <v>ED</v>
      </c>
      <c r="U49" s="12">
        <v>22</v>
      </c>
      <c r="V49" s="13">
        <f t="shared" si="2"/>
        <v>3</v>
      </c>
      <c r="X49" s="12">
        <v>83</v>
      </c>
      <c r="Y49" s="13">
        <f t="shared" si="3"/>
        <v>24</v>
      </c>
    </row>
    <row r="50" spans="17:25" ht="25" thickBot="1" x14ac:dyDescent="0.25">
      <c r="Q50" s="9">
        <v>41</v>
      </c>
      <c r="R50" s="10">
        <f t="shared" si="0"/>
        <v>4</v>
      </c>
      <c r="S50" s="10" t="str">
        <f t="shared" si="1"/>
        <v>ED</v>
      </c>
      <c r="U50" s="12">
        <v>61</v>
      </c>
      <c r="V50" s="13">
        <f t="shared" si="2"/>
        <v>2</v>
      </c>
      <c r="X50" s="12">
        <v>18</v>
      </c>
      <c r="Y50" s="13">
        <f t="shared" si="3"/>
        <v>6</v>
      </c>
    </row>
    <row r="51" spans="17:25" ht="25" thickBot="1" x14ac:dyDescent="0.25">
      <c r="Q51" s="9">
        <v>97</v>
      </c>
      <c r="R51" s="10">
        <f t="shared" si="0"/>
        <v>10</v>
      </c>
      <c r="S51" s="10" t="str">
        <f t="shared" si="1"/>
        <v>ICU</v>
      </c>
      <c r="U51" s="12">
        <v>86</v>
      </c>
      <c r="V51" s="13">
        <f t="shared" si="2"/>
        <v>4</v>
      </c>
      <c r="X51" s="12">
        <v>34</v>
      </c>
      <c r="Y51" s="13">
        <f t="shared" si="3"/>
        <v>12</v>
      </c>
    </row>
    <row r="52" spans="17:25" ht="25" thickBot="1" x14ac:dyDescent="0.25">
      <c r="Q52" s="9">
        <v>5</v>
      </c>
      <c r="R52" s="10">
        <f t="shared" si="0"/>
        <v>2</v>
      </c>
      <c r="S52" s="10" t="str">
        <f t="shared" si="1"/>
        <v>AS</v>
      </c>
      <c r="U52" s="12">
        <v>3</v>
      </c>
      <c r="V52" s="13">
        <f t="shared" si="2"/>
        <v>1</v>
      </c>
      <c r="X52" s="12">
        <v>27</v>
      </c>
      <c r="Y52" s="13">
        <f t="shared" si="3"/>
        <v>6</v>
      </c>
    </row>
    <row r="53" spans="17:25" ht="25" thickBot="1" x14ac:dyDescent="0.25">
      <c r="Q53" s="9">
        <v>50</v>
      </c>
      <c r="R53" s="10">
        <f t="shared" si="0"/>
        <v>6</v>
      </c>
      <c r="S53" s="10" t="str">
        <f t="shared" si="1"/>
        <v>ED</v>
      </c>
      <c r="U53" s="12">
        <v>6</v>
      </c>
      <c r="V53" s="13">
        <f t="shared" si="2"/>
        <v>2</v>
      </c>
      <c r="X53" s="12">
        <v>91</v>
      </c>
      <c r="Y53" s="13">
        <f t="shared" si="3"/>
        <v>24</v>
      </c>
    </row>
    <row r="54" spans="17:25" ht="25" thickBot="1" x14ac:dyDescent="0.25">
      <c r="Q54" s="9">
        <v>16</v>
      </c>
      <c r="R54" s="10">
        <f t="shared" si="0"/>
        <v>4</v>
      </c>
      <c r="S54" s="10" t="str">
        <f t="shared" si="1"/>
        <v>AS</v>
      </c>
      <c r="U54" s="12">
        <v>81</v>
      </c>
      <c r="V54" s="13">
        <f t="shared" si="2"/>
        <v>1</v>
      </c>
      <c r="X54" s="12">
        <v>41</v>
      </c>
      <c r="Y54" s="13">
        <f t="shared" si="3"/>
        <v>12</v>
      </c>
    </row>
    <row r="55" spans="17:25" ht="25" thickBot="1" x14ac:dyDescent="0.25">
      <c r="Q55" s="9">
        <v>47</v>
      </c>
      <c r="R55" s="10">
        <f t="shared" si="0"/>
        <v>6</v>
      </c>
      <c r="S55" s="10" t="str">
        <f t="shared" si="1"/>
        <v>ED</v>
      </c>
      <c r="U55" s="12">
        <v>98</v>
      </c>
      <c r="V55" s="13">
        <f t="shared" si="2"/>
        <v>2</v>
      </c>
      <c r="X55" s="12">
        <v>63</v>
      </c>
      <c r="Y55" s="13">
        <f t="shared" si="3"/>
        <v>12</v>
      </c>
    </row>
    <row r="56" spans="17:25" ht="25" thickBot="1" x14ac:dyDescent="0.25">
      <c r="Q56" s="9">
        <v>16</v>
      </c>
      <c r="R56" s="10">
        <f t="shared" si="0"/>
        <v>4</v>
      </c>
      <c r="S56" s="10" t="str">
        <f t="shared" si="1"/>
        <v>AS</v>
      </c>
      <c r="U56" s="12">
        <v>68</v>
      </c>
      <c r="V56" s="13">
        <f t="shared" si="2"/>
        <v>1</v>
      </c>
      <c r="X56" s="12">
        <v>80</v>
      </c>
      <c r="Y56" s="13">
        <f t="shared" si="3"/>
        <v>24</v>
      </c>
    </row>
    <row r="57" spans="17:25" ht="25" thickBot="1" x14ac:dyDescent="0.25">
      <c r="Q57" s="9">
        <v>4</v>
      </c>
      <c r="R57" s="10">
        <f t="shared" si="0"/>
        <v>2</v>
      </c>
      <c r="S57" s="10" t="str">
        <f t="shared" si="1"/>
        <v>AS</v>
      </c>
      <c r="U57" s="12">
        <v>67</v>
      </c>
      <c r="V57" s="13">
        <f t="shared" si="2"/>
        <v>1</v>
      </c>
      <c r="X57" s="12">
        <v>47</v>
      </c>
      <c r="Y57" s="13">
        <f t="shared" si="3"/>
        <v>12</v>
      </c>
    </row>
    <row r="58" spans="17:25" ht="25" thickBot="1" x14ac:dyDescent="0.25">
      <c r="Q58" s="9">
        <v>86</v>
      </c>
      <c r="R58" s="10">
        <f t="shared" si="0"/>
        <v>8</v>
      </c>
      <c r="S58" s="10" t="str">
        <f t="shared" si="1"/>
        <v>ICU</v>
      </c>
      <c r="U58" s="12">
        <v>10</v>
      </c>
      <c r="V58" s="13">
        <f t="shared" si="2"/>
        <v>4</v>
      </c>
      <c r="X58" s="12">
        <v>43</v>
      </c>
      <c r="Y58" s="13">
        <f t="shared" si="3"/>
        <v>12</v>
      </c>
    </row>
    <row r="59" spans="17:25" ht="25" thickBot="1" x14ac:dyDescent="0.25">
      <c r="Q59" s="9">
        <v>12</v>
      </c>
      <c r="R59" s="10">
        <f t="shared" si="0"/>
        <v>2</v>
      </c>
      <c r="S59" s="10" t="str">
        <f t="shared" si="1"/>
        <v>AS</v>
      </c>
      <c r="U59" s="12">
        <v>17</v>
      </c>
      <c r="V59" s="13">
        <f t="shared" si="2"/>
        <v>1</v>
      </c>
      <c r="X59" s="12">
        <v>86</v>
      </c>
      <c r="Y59" s="13">
        <f t="shared" si="3"/>
        <v>24</v>
      </c>
    </row>
    <row r="60" spans="17:25" ht="25" thickBot="1" x14ac:dyDescent="0.25">
      <c r="Q60" s="9">
        <v>11</v>
      </c>
      <c r="R60" s="10">
        <f t="shared" si="0"/>
        <v>2</v>
      </c>
      <c r="S60" s="10" t="str">
        <f t="shared" si="1"/>
        <v>AS</v>
      </c>
      <c r="U60" s="12">
        <v>48</v>
      </c>
      <c r="V60" s="13">
        <f t="shared" si="2"/>
        <v>1</v>
      </c>
      <c r="X60" s="12">
        <v>27</v>
      </c>
      <c r="Y60" s="13">
        <f t="shared" si="3"/>
        <v>6</v>
      </c>
    </row>
    <row r="61" spans="17:25" ht="25" thickBot="1" x14ac:dyDescent="0.25">
      <c r="Q61" s="9">
        <v>13</v>
      </c>
      <c r="R61" s="10">
        <f t="shared" si="0"/>
        <v>2</v>
      </c>
      <c r="S61" s="10" t="str">
        <f t="shared" si="1"/>
        <v>AS</v>
      </c>
      <c r="U61" s="12">
        <v>15</v>
      </c>
      <c r="V61" s="13">
        <f t="shared" si="2"/>
        <v>1</v>
      </c>
      <c r="X61" s="12">
        <v>76</v>
      </c>
      <c r="Y61" s="13">
        <f t="shared" si="3"/>
        <v>24</v>
      </c>
    </row>
    <row r="62" spans="17:25" ht="25" thickBot="1" x14ac:dyDescent="0.25">
      <c r="Q62" s="9">
        <v>11</v>
      </c>
      <c r="R62" s="10">
        <f t="shared" si="0"/>
        <v>2</v>
      </c>
      <c r="S62" s="10" t="str">
        <f t="shared" si="1"/>
        <v>AS</v>
      </c>
      <c r="U62" s="12">
        <v>14</v>
      </c>
      <c r="V62" s="13">
        <f t="shared" si="2"/>
        <v>1</v>
      </c>
      <c r="X62" s="12">
        <v>15</v>
      </c>
      <c r="Y62" s="13">
        <f t="shared" si="3"/>
        <v>6</v>
      </c>
    </row>
    <row r="63" spans="17:25" ht="25" thickBot="1" x14ac:dyDescent="0.25">
      <c r="Q63" s="9">
        <v>99</v>
      </c>
      <c r="R63" s="10">
        <f t="shared" si="0"/>
        <v>10</v>
      </c>
      <c r="S63" s="10" t="str">
        <f t="shared" si="1"/>
        <v>ICU</v>
      </c>
      <c r="U63" s="12">
        <v>27</v>
      </c>
      <c r="V63" s="13">
        <f t="shared" si="2"/>
        <v>4</v>
      </c>
      <c r="X63" s="12">
        <v>13</v>
      </c>
      <c r="Y63" s="13">
        <f t="shared" si="3"/>
        <v>6</v>
      </c>
    </row>
    <row r="64" spans="17:25" ht="25" thickBot="1" x14ac:dyDescent="0.25">
      <c r="Q64" s="9">
        <v>13</v>
      </c>
      <c r="R64" s="10">
        <f t="shared" si="0"/>
        <v>2</v>
      </c>
      <c r="S64" s="10" t="str">
        <f t="shared" si="1"/>
        <v>AS</v>
      </c>
      <c r="U64" s="12">
        <v>69</v>
      </c>
      <c r="V64" s="13">
        <f t="shared" si="2"/>
        <v>1</v>
      </c>
      <c r="X64" s="12">
        <v>40</v>
      </c>
      <c r="Y64" s="13">
        <f t="shared" si="3"/>
        <v>12</v>
      </c>
    </row>
    <row r="65" spans="17:25" ht="25" thickBot="1" x14ac:dyDescent="0.25">
      <c r="Q65" s="9">
        <v>29</v>
      </c>
      <c r="R65" s="10">
        <f t="shared" si="0"/>
        <v>4</v>
      </c>
      <c r="S65" s="10" t="str">
        <f t="shared" si="1"/>
        <v>ED</v>
      </c>
      <c r="U65" s="12">
        <v>32</v>
      </c>
      <c r="V65" s="13">
        <f t="shared" si="2"/>
        <v>2</v>
      </c>
      <c r="X65" s="12">
        <v>21</v>
      </c>
      <c r="Y65" s="13">
        <f t="shared" si="3"/>
        <v>6</v>
      </c>
    </row>
    <row r="66" spans="17:25" ht="25" thickBot="1" x14ac:dyDescent="0.25">
      <c r="Q66" s="9">
        <v>80</v>
      </c>
      <c r="R66" s="10">
        <f t="shared" si="0"/>
        <v>8</v>
      </c>
      <c r="S66" s="10" t="str">
        <f t="shared" si="1"/>
        <v>ICU</v>
      </c>
      <c r="U66" s="12">
        <v>96</v>
      </c>
      <c r="V66" s="13">
        <f t="shared" si="2"/>
        <v>4</v>
      </c>
      <c r="X66" s="12">
        <v>90</v>
      </c>
      <c r="Y66" s="13">
        <f t="shared" si="3"/>
        <v>24</v>
      </c>
    </row>
    <row r="67" spans="17:25" ht="25" thickBot="1" x14ac:dyDescent="0.25">
      <c r="Q67" s="9">
        <v>26</v>
      </c>
      <c r="R67" s="10">
        <f t="shared" si="0"/>
        <v>4</v>
      </c>
      <c r="S67" s="10" t="str">
        <f t="shared" si="1"/>
        <v>ED</v>
      </c>
      <c r="U67" s="12">
        <v>70</v>
      </c>
      <c r="V67" s="13">
        <f t="shared" si="2"/>
        <v>2</v>
      </c>
      <c r="X67" s="12">
        <v>41</v>
      </c>
      <c r="Y67" s="13">
        <f t="shared" si="3"/>
        <v>12</v>
      </c>
    </row>
    <row r="68" spans="17:25" ht="25" thickBot="1" x14ac:dyDescent="0.25">
      <c r="Q68" s="9">
        <v>93</v>
      </c>
      <c r="R68" s="10">
        <f t="shared" si="0"/>
        <v>10</v>
      </c>
      <c r="S68" s="10" t="str">
        <f t="shared" si="1"/>
        <v>ICU</v>
      </c>
      <c r="U68" s="12">
        <v>36</v>
      </c>
      <c r="V68" s="13">
        <f t="shared" si="2"/>
        <v>4</v>
      </c>
      <c r="X68" s="12">
        <v>24</v>
      </c>
      <c r="Y68" s="13">
        <f t="shared" si="3"/>
        <v>6</v>
      </c>
    </row>
    <row r="69" spans="17:25" ht="25" thickBot="1" x14ac:dyDescent="0.25">
      <c r="Q69" s="9">
        <v>24</v>
      </c>
      <c r="R69" s="10">
        <f t="shared" ref="R69:S72" si="4">_xlfn.XLOOKUP(Q69,$E$5:$E$9, $A$5:$A$9,,"-1")</f>
        <v>4</v>
      </c>
      <c r="S69" s="10" t="str">
        <f t="shared" ref="S69:S72" si="5">_xlfn.XLOOKUP(Q69,$E$15:$E$17, $A$15:$A$17,,"-1")</f>
        <v>AS</v>
      </c>
      <c r="U69" s="12">
        <v>46</v>
      </c>
      <c r="V69" s="13">
        <f t="shared" ref="V69:V72" si="6">_xlfn.XLOOKUP(Q69,$E$23:$E$26, $A$23:$A$26,,"-1")</f>
        <v>2</v>
      </c>
      <c r="X69" s="12">
        <v>77</v>
      </c>
      <c r="Y69" s="13">
        <f t="shared" ref="Y69:Y92" si="7">_xlfn.XLOOKUP(X69,$E$32:$E$35, $A$32:$A$35,,"-1")</f>
        <v>24</v>
      </c>
    </row>
    <row r="70" spans="17:25" ht="25" thickBot="1" x14ac:dyDescent="0.25">
      <c r="Q70" s="9">
        <v>72</v>
      </c>
      <c r="R70" s="10">
        <f t="shared" si="4"/>
        <v>8</v>
      </c>
      <c r="S70" s="10" t="str">
        <f t="shared" si="5"/>
        <v>ICU</v>
      </c>
      <c r="U70" s="12">
        <v>91</v>
      </c>
      <c r="V70" s="13">
        <f t="shared" si="6"/>
        <v>3</v>
      </c>
      <c r="X70" s="12">
        <v>76</v>
      </c>
      <c r="Y70" s="13">
        <f t="shared" si="7"/>
        <v>24</v>
      </c>
    </row>
    <row r="71" spans="17:25" ht="25" thickBot="1" x14ac:dyDescent="0.25">
      <c r="Q71" s="9">
        <v>1</v>
      </c>
      <c r="R71" s="10">
        <f t="shared" si="4"/>
        <v>2</v>
      </c>
      <c r="S71" s="10" t="str">
        <f t="shared" si="5"/>
        <v>AS</v>
      </c>
      <c r="U71" s="12">
        <v>70</v>
      </c>
      <c r="V71" s="13">
        <f t="shared" si="6"/>
        <v>1</v>
      </c>
      <c r="X71" s="12">
        <v>21</v>
      </c>
      <c r="Y71" s="13">
        <f t="shared" si="7"/>
        <v>6</v>
      </c>
    </row>
    <row r="72" spans="17:25" ht="25" thickBot="1" x14ac:dyDescent="0.25">
      <c r="Q72" s="9">
        <v>92</v>
      </c>
      <c r="R72" s="10">
        <f t="shared" si="4"/>
        <v>10</v>
      </c>
      <c r="S72" s="10" t="str">
        <f t="shared" si="5"/>
        <v>ICU</v>
      </c>
      <c r="U72" s="12">
        <v>27</v>
      </c>
      <c r="V72" s="13">
        <f t="shared" si="6"/>
        <v>4</v>
      </c>
      <c r="X72" s="12">
        <v>0</v>
      </c>
      <c r="Y72" s="13">
        <f t="shared" si="7"/>
        <v>3</v>
      </c>
    </row>
    <row r="73" spans="17:25" ht="25" thickBot="1" x14ac:dyDescent="0.25">
      <c r="Q73" s="9">
        <v>75</v>
      </c>
      <c r="R73" s="10">
        <f t="shared" ref="R73:S73" si="8">_xlfn.XLOOKUP(Q73,$E$5:$E$9, $A$5:$A$9,,"-1")</f>
        <v>8</v>
      </c>
      <c r="S73" s="10" t="str">
        <f t="shared" ref="S73:S136" si="9">_xlfn.XLOOKUP(Q73,$E$15:$E$17, $A$15:$A$17,,"-1")</f>
        <v>ICU</v>
      </c>
      <c r="U73" s="12">
        <v>25</v>
      </c>
      <c r="V73" s="13">
        <f>_xlfn.XLOOKUP(Q73,$E$23:$E$26, $A$23:$A$26,,"-1")</f>
        <v>4</v>
      </c>
      <c r="X73" s="12">
        <v>39</v>
      </c>
      <c r="Y73" s="13">
        <f t="shared" si="7"/>
        <v>12</v>
      </c>
    </row>
    <row r="74" spans="17:25" ht="25" thickBot="1" x14ac:dyDescent="0.25">
      <c r="Q74" s="9">
        <v>3</v>
      </c>
      <c r="R74" s="10">
        <f t="shared" ref="R74:S74" si="10">_xlfn.XLOOKUP(Q74,$E$5:$E$9, $A$5:$A$9,,"-1")</f>
        <v>2</v>
      </c>
      <c r="S74" s="10" t="str">
        <f t="shared" si="9"/>
        <v>AS</v>
      </c>
      <c r="U74" s="12">
        <v>3</v>
      </c>
      <c r="V74" s="13">
        <f t="shared" ref="V74:V92" si="11">_xlfn.XLOOKUP(Q74,$E$23:$E$26, $A$23:$A$26,,"-1")</f>
        <v>1</v>
      </c>
      <c r="X74" s="12">
        <v>39</v>
      </c>
      <c r="Y74" s="13">
        <f t="shared" si="7"/>
        <v>12</v>
      </c>
    </row>
    <row r="75" spans="17:25" ht="25" thickBot="1" x14ac:dyDescent="0.25">
      <c r="Q75" s="9">
        <v>81</v>
      </c>
      <c r="R75" s="10">
        <f t="shared" ref="R75:S75" si="12">_xlfn.XLOOKUP(Q75,$E$5:$E$9, $A$5:$A$9,,"-1")</f>
        <v>8</v>
      </c>
      <c r="S75" s="10" t="str">
        <f t="shared" si="9"/>
        <v>ICU</v>
      </c>
      <c r="U75" s="12">
        <v>68</v>
      </c>
      <c r="V75" s="13">
        <f t="shared" si="11"/>
        <v>4</v>
      </c>
      <c r="X75" s="12">
        <v>33</v>
      </c>
      <c r="Y75" s="13">
        <f t="shared" si="7"/>
        <v>12</v>
      </c>
    </row>
    <row r="76" spans="17:25" ht="25" thickBot="1" x14ac:dyDescent="0.25">
      <c r="Q76" s="9">
        <v>27</v>
      </c>
      <c r="R76" s="10">
        <f t="shared" ref="R76:S76" si="13">_xlfn.XLOOKUP(Q76,$E$5:$E$9, $A$5:$A$9,,"-1")</f>
        <v>4</v>
      </c>
      <c r="S76" s="10" t="str">
        <f t="shared" si="9"/>
        <v>ED</v>
      </c>
      <c r="U76" s="12">
        <v>25</v>
      </c>
      <c r="V76" s="13">
        <f t="shared" si="11"/>
        <v>2</v>
      </c>
      <c r="X76" s="12">
        <v>34</v>
      </c>
      <c r="Y76" s="13">
        <f t="shared" si="7"/>
        <v>12</v>
      </c>
    </row>
    <row r="77" spans="17:25" ht="25" thickBot="1" x14ac:dyDescent="0.25">
      <c r="Q77" s="9">
        <v>42</v>
      </c>
      <c r="R77" s="10">
        <f t="shared" ref="R77:S77" si="14">_xlfn.XLOOKUP(Q77,$E$5:$E$9, $A$5:$A$9,,"-1")</f>
        <v>4</v>
      </c>
      <c r="S77" s="10" t="str">
        <f t="shared" si="9"/>
        <v>ED</v>
      </c>
      <c r="U77" s="12">
        <v>46</v>
      </c>
      <c r="V77" s="13">
        <f t="shared" si="11"/>
        <v>2</v>
      </c>
      <c r="X77" s="12">
        <v>93</v>
      </c>
      <c r="Y77" s="13">
        <f t="shared" si="7"/>
        <v>24</v>
      </c>
    </row>
    <row r="78" spans="17:25" ht="25" thickBot="1" x14ac:dyDescent="0.25">
      <c r="Q78" s="9">
        <v>48</v>
      </c>
      <c r="R78" s="10">
        <f t="shared" ref="R78:S78" si="15">_xlfn.XLOOKUP(Q78,$E$5:$E$9, $A$5:$A$9,,"-1")</f>
        <v>6</v>
      </c>
      <c r="S78" s="10" t="str">
        <f t="shared" si="9"/>
        <v>ED</v>
      </c>
      <c r="U78" s="12">
        <v>43</v>
      </c>
      <c r="V78" s="13">
        <f t="shared" si="11"/>
        <v>2</v>
      </c>
      <c r="X78" s="12">
        <v>67</v>
      </c>
      <c r="Y78" s="13">
        <f t="shared" si="7"/>
        <v>12</v>
      </c>
    </row>
    <row r="79" spans="17:25" ht="25" thickBot="1" x14ac:dyDescent="0.25">
      <c r="Q79" s="9">
        <v>23</v>
      </c>
      <c r="R79" s="10">
        <f t="shared" ref="R79:S79" si="16">_xlfn.XLOOKUP(Q79,$E$5:$E$9, $A$5:$A$9,,"-1")</f>
        <v>4</v>
      </c>
      <c r="S79" s="10" t="str">
        <f t="shared" si="9"/>
        <v>AS</v>
      </c>
      <c r="U79" s="12">
        <v>61</v>
      </c>
      <c r="V79" s="13">
        <f t="shared" si="11"/>
        <v>2</v>
      </c>
      <c r="X79" s="12">
        <v>21</v>
      </c>
      <c r="Y79" s="13">
        <f t="shared" si="7"/>
        <v>6</v>
      </c>
    </row>
    <row r="80" spans="17:25" ht="25" thickBot="1" x14ac:dyDescent="0.25">
      <c r="Q80" s="9">
        <v>20</v>
      </c>
      <c r="R80" s="10">
        <f t="shared" ref="R80:S80" si="17">_xlfn.XLOOKUP(Q80,$E$5:$E$9, $A$5:$A$9,,"-1")</f>
        <v>4</v>
      </c>
      <c r="S80" s="10" t="str">
        <f t="shared" si="9"/>
        <v>AS</v>
      </c>
      <c r="U80" s="12">
        <v>82</v>
      </c>
      <c r="V80" s="13">
        <f t="shared" si="11"/>
        <v>2</v>
      </c>
      <c r="X80" s="12">
        <v>29</v>
      </c>
      <c r="Y80" s="13">
        <f t="shared" si="7"/>
        <v>12</v>
      </c>
    </row>
    <row r="81" spans="17:25" ht="25" thickBot="1" x14ac:dyDescent="0.25">
      <c r="Q81" s="9">
        <v>57</v>
      </c>
      <c r="R81" s="10">
        <f t="shared" ref="R81:S81" si="18">_xlfn.XLOOKUP(Q81,$E$5:$E$9, $A$5:$A$9,,"-1")</f>
        <v>6</v>
      </c>
      <c r="S81" s="10" t="str">
        <f t="shared" si="9"/>
        <v>ED</v>
      </c>
      <c r="U81" s="12">
        <v>96</v>
      </c>
      <c r="V81" s="13">
        <f t="shared" si="11"/>
        <v>3</v>
      </c>
      <c r="X81" s="12">
        <v>49</v>
      </c>
      <c r="Y81" s="13">
        <f t="shared" si="7"/>
        <v>12</v>
      </c>
    </row>
    <row r="82" spans="17:25" ht="25" thickBot="1" x14ac:dyDescent="0.25">
      <c r="Q82" s="9">
        <v>15</v>
      </c>
      <c r="R82" s="10">
        <f t="shared" ref="R82:S82" si="19">_xlfn.XLOOKUP(Q82,$E$5:$E$9, $A$5:$A$9,,"-1")</f>
        <v>4</v>
      </c>
      <c r="S82" s="10" t="str">
        <f t="shared" si="9"/>
        <v>AS</v>
      </c>
      <c r="U82" s="12">
        <v>16</v>
      </c>
      <c r="V82" s="13">
        <f t="shared" si="11"/>
        <v>1</v>
      </c>
      <c r="X82" s="12">
        <v>82</v>
      </c>
      <c r="Y82" s="13">
        <f t="shared" si="7"/>
        <v>24</v>
      </c>
    </row>
    <row r="83" spans="17:25" ht="25" thickBot="1" x14ac:dyDescent="0.25">
      <c r="Q83" s="9">
        <v>59</v>
      </c>
      <c r="R83" s="10">
        <f t="shared" ref="R83:S83" si="20">_xlfn.XLOOKUP(Q83,$E$5:$E$9, $A$5:$A$9,,"-1")</f>
        <v>6</v>
      </c>
      <c r="S83" s="10" t="str">
        <f t="shared" si="9"/>
        <v>ED</v>
      </c>
      <c r="U83" s="12">
        <v>36</v>
      </c>
      <c r="V83" s="13">
        <f t="shared" si="11"/>
        <v>3</v>
      </c>
      <c r="X83" s="12">
        <v>39</v>
      </c>
      <c r="Y83" s="13">
        <f t="shared" si="7"/>
        <v>12</v>
      </c>
    </row>
    <row r="84" spans="17:25" ht="25" thickBot="1" x14ac:dyDescent="0.25">
      <c r="Q84" s="9">
        <v>4</v>
      </c>
      <c r="R84" s="10">
        <f t="shared" ref="R84:S84" si="21">_xlfn.XLOOKUP(Q84,$E$5:$E$9, $A$5:$A$9,,"-1")</f>
        <v>2</v>
      </c>
      <c r="S84" s="10" t="str">
        <f t="shared" si="9"/>
        <v>AS</v>
      </c>
      <c r="U84" s="12">
        <v>64</v>
      </c>
      <c r="V84" s="13">
        <f t="shared" si="11"/>
        <v>1</v>
      </c>
      <c r="X84" s="12">
        <v>17</v>
      </c>
      <c r="Y84" s="13">
        <f t="shared" si="7"/>
        <v>6</v>
      </c>
    </row>
    <row r="85" spans="17:25" ht="25" thickBot="1" x14ac:dyDescent="0.25">
      <c r="Q85" s="9">
        <v>32</v>
      </c>
      <c r="R85" s="10">
        <f t="shared" ref="R85" si="22">_xlfn.XLOOKUP(Q85,$E$5:$E$9, $A$5:$A$9,,"-1")</f>
        <v>4</v>
      </c>
      <c r="S85" s="10" t="str">
        <f t="shared" si="9"/>
        <v>ED</v>
      </c>
      <c r="U85" s="12">
        <v>84</v>
      </c>
      <c r="V85" s="13">
        <f t="shared" si="11"/>
        <v>2</v>
      </c>
      <c r="X85" s="12">
        <v>3</v>
      </c>
      <c r="Y85" s="13">
        <f t="shared" si="7"/>
        <v>3</v>
      </c>
    </row>
    <row r="86" spans="17:25" ht="25" thickBot="1" x14ac:dyDescent="0.25">
      <c r="Q86" s="9">
        <v>76</v>
      </c>
      <c r="R86" s="10">
        <f t="shared" ref="R86" si="23">_xlfn.XLOOKUP(Q86,$E$5:$E$9, $A$5:$A$9,,"-1")</f>
        <v>8</v>
      </c>
      <c r="S86" s="10" t="str">
        <f t="shared" si="9"/>
        <v>ICU</v>
      </c>
      <c r="U86" s="12">
        <v>95</v>
      </c>
      <c r="V86" s="13">
        <f t="shared" si="11"/>
        <v>4</v>
      </c>
      <c r="X86" s="12">
        <v>65</v>
      </c>
      <c r="Y86" s="13">
        <f t="shared" si="7"/>
        <v>12</v>
      </c>
    </row>
    <row r="87" spans="17:25" ht="25" thickBot="1" x14ac:dyDescent="0.25">
      <c r="Q87" s="9">
        <v>99</v>
      </c>
      <c r="R87" s="10">
        <f t="shared" ref="R87" si="24">_xlfn.XLOOKUP(Q87,$E$5:$E$9, $A$5:$A$9,,"-1")</f>
        <v>10</v>
      </c>
      <c r="S87" s="10" t="str">
        <f t="shared" si="9"/>
        <v>ICU</v>
      </c>
      <c r="U87" s="12">
        <v>75</v>
      </c>
      <c r="V87" s="13">
        <f t="shared" si="11"/>
        <v>4</v>
      </c>
      <c r="X87" s="12">
        <v>40</v>
      </c>
      <c r="Y87" s="13">
        <f t="shared" si="7"/>
        <v>12</v>
      </c>
    </row>
    <row r="88" spans="17:25" ht="25" thickBot="1" x14ac:dyDescent="0.25">
      <c r="Q88" s="9">
        <v>14</v>
      </c>
      <c r="R88" s="10">
        <f t="shared" ref="R88" si="25">_xlfn.XLOOKUP(Q88,$E$5:$E$9, $A$5:$A$9,,"-1")</f>
        <v>2</v>
      </c>
      <c r="S88" s="10" t="str">
        <f t="shared" si="9"/>
        <v>AS</v>
      </c>
      <c r="U88" s="12">
        <v>23</v>
      </c>
      <c r="V88" s="13">
        <f t="shared" si="11"/>
        <v>1</v>
      </c>
      <c r="X88" s="12">
        <v>23</v>
      </c>
      <c r="Y88" s="13">
        <f t="shared" si="7"/>
        <v>6</v>
      </c>
    </row>
    <row r="89" spans="17:25" ht="25" thickBot="1" x14ac:dyDescent="0.25">
      <c r="Q89" s="9">
        <v>11</v>
      </c>
      <c r="R89" s="10">
        <f t="shared" ref="R89" si="26">_xlfn.XLOOKUP(Q89,$E$5:$E$9, $A$5:$A$9,,"-1")</f>
        <v>2</v>
      </c>
      <c r="S89" s="10" t="str">
        <f t="shared" si="9"/>
        <v>AS</v>
      </c>
      <c r="U89" s="12">
        <v>44</v>
      </c>
      <c r="V89" s="13">
        <f t="shared" si="11"/>
        <v>1</v>
      </c>
      <c r="X89" s="12">
        <v>92</v>
      </c>
      <c r="Y89" s="13">
        <f t="shared" si="7"/>
        <v>24</v>
      </c>
    </row>
    <row r="90" spans="17:25" ht="25" thickBot="1" x14ac:dyDescent="0.25">
      <c r="Q90" s="9">
        <v>61</v>
      </c>
      <c r="R90" s="10">
        <f t="shared" ref="R90" si="27">_xlfn.XLOOKUP(Q90,$E$5:$E$9, $A$5:$A$9,,"-1")</f>
        <v>6</v>
      </c>
      <c r="S90" s="10" t="str">
        <f t="shared" si="9"/>
        <v>ED</v>
      </c>
      <c r="U90" s="12">
        <v>85</v>
      </c>
      <c r="V90" s="13">
        <f t="shared" si="11"/>
        <v>3</v>
      </c>
      <c r="X90" s="12">
        <v>8</v>
      </c>
      <c r="Y90" s="13">
        <f t="shared" si="7"/>
        <v>3</v>
      </c>
    </row>
    <row r="91" spans="17:25" ht="25" thickBot="1" x14ac:dyDescent="0.25">
      <c r="Q91" s="9">
        <v>3</v>
      </c>
      <c r="R91" s="10">
        <f t="shared" ref="R91:R92" si="28">_xlfn.XLOOKUP(Q91,$E$5:$E$9, $A$5:$A$9,,"-1")</f>
        <v>2</v>
      </c>
      <c r="S91" s="10" t="str">
        <f t="shared" si="9"/>
        <v>AS</v>
      </c>
      <c r="U91" s="12">
        <v>69</v>
      </c>
      <c r="V91" s="13">
        <f t="shared" si="11"/>
        <v>1</v>
      </c>
      <c r="X91" s="12">
        <v>31</v>
      </c>
      <c r="Y91" s="13">
        <f t="shared" si="7"/>
        <v>12</v>
      </c>
    </row>
    <row r="92" spans="17:25" ht="25" thickBot="1" x14ac:dyDescent="0.25">
      <c r="Q92" s="9">
        <v>26</v>
      </c>
      <c r="R92" s="10">
        <f t="shared" si="28"/>
        <v>4</v>
      </c>
      <c r="S92" s="10" t="str">
        <f t="shared" si="9"/>
        <v>ED</v>
      </c>
      <c r="U92" s="12">
        <v>94</v>
      </c>
      <c r="V92" s="13">
        <f t="shared" si="11"/>
        <v>2</v>
      </c>
      <c r="X92" s="12">
        <v>37</v>
      </c>
      <c r="Y92" s="13">
        <f t="shared" si="7"/>
        <v>12</v>
      </c>
    </row>
    <row r="94" spans="17:25" ht="24" x14ac:dyDescent="0.3">
      <c r="Q94" s="14" t="s">
        <v>40</v>
      </c>
      <c r="R94" s="14"/>
      <c r="S94" s="5">
        <f>SUM(R4:R92)</f>
        <v>480</v>
      </c>
    </row>
    <row r="95" spans="17:25" ht="24" x14ac:dyDescent="0.3">
      <c r="Q95" s="14" t="s">
        <v>41</v>
      </c>
      <c r="R95" s="14"/>
      <c r="S95" s="5">
        <f>COUNT(R4:R92)</f>
        <v>89</v>
      </c>
    </row>
    <row r="96" spans="17:25" ht="24" x14ac:dyDescent="0.3">
      <c r="Q96" s="5"/>
      <c r="R96" s="5"/>
      <c r="S96" s="5"/>
    </row>
  </sheetData>
  <mergeCells count="2">
    <mergeCell ref="Q94:R94"/>
    <mergeCell ref="Q95:R9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Sabile</dc:creator>
  <cp:lastModifiedBy>Karen Sabile</cp:lastModifiedBy>
  <dcterms:created xsi:type="dcterms:W3CDTF">2026-05-04T14:25:52Z</dcterms:created>
  <dcterms:modified xsi:type="dcterms:W3CDTF">2026-05-05T02:34:52Z</dcterms:modified>
</cp:coreProperties>
</file>